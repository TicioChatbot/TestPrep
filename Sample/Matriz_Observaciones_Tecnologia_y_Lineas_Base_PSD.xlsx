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Observaciones Sala" sheetId="1" state="visible" r:id="rId1"/>
    <sheet xmlns:r="http://schemas.openxmlformats.org/officeDocument/2006/relationships" name="Indicadores Propuestos OE3" sheetId="2" state="visible" r:id="rId2"/>
    <sheet xmlns:r="http://schemas.openxmlformats.org/officeDocument/2006/relationships" name="Resumen y Despacho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B365D"/>
      <sz val="14"/>
    </font>
    <font>
      <name val="Calibri"/>
      <i val="1"/>
      <color rgb="00595959"/>
      <sz val="10"/>
    </font>
    <font>
      <name val="Calibri"/>
      <b val="1"/>
      <color rgb="00FFFFFF"/>
      <sz val="10"/>
    </font>
    <font>
      <name val="Calibri"/>
      <color rgb="00262626"/>
      <sz val="9.5"/>
    </font>
    <font>
      <name val="Calibri"/>
      <b val="1"/>
      <color rgb="00262626"/>
      <sz val="9.5"/>
    </font>
  </fonts>
  <fills count="7">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F7F9FC"/>
        <bgColor rgb="00F7F9FC"/>
      </patternFill>
    </fill>
    <fill>
      <patternFill patternType="solid">
        <fgColor rgb="002B4C7E"/>
        <bgColor rgb="002B4C7E"/>
      </patternFill>
    </fill>
    <fill>
      <patternFill patternType="solid">
        <fgColor rgb="00EBF1F8"/>
        <bgColor rgb="00EBF1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top"/>
    </xf>
    <xf numFmtId="0" fontId="4" fillId="3" borderId="1" applyAlignment="1" pivotButton="0" quotePrefix="0" xfId="0">
      <alignment horizontal="left" vertical="top"/>
    </xf>
    <xf numFmtId="0" fontId="4" fillId="3" borderId="1" applyAlignment="1" pivotButton="0" quotePrefix="0" xfId="0">
      <alignment horizontal="left" vertical="top" wrapText="1"/>
    </xf>
    <xf numFmtId="0" fontId="4" fillId="4" borderId="1" applyAlignment="1" pivotButton="0" quotePrefix="0" xfId="0">
      <alignment horizontal="center" vertical="top"/>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3" fillId="5"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4" borderId="1" applyAlignment="1" pivotButton="0" quotePrefix="0" xfId="0">
      <alignment horizontal="center" vertical="top" wrapText="1"/>
    </xf>
    <xf numFmtId="0" fontId="3" fillId="2" borderId="1" applyAlignment="1" pivotButton="0" quotePrefix="0" xfId="0">
      <alignment horizontal="center" vertical="center"/>
    </xf>
    <xf numFmtId="0" fontId="3" fillId="5" borderId="1" applyAlignment="1" pivotButton="0" quotePrefix="0" xfId="0">
      <alignment horizontal="center" vertical="center"/>
    </xf>
    <xf numFmtId="0" fontId="4" fillId="3" borderId="1" applyAlignment="1" pivotButton="0" quotePrefix="0" xfId="0">
      <alignment horizontal="left" vertical="center"/>
    </xf>
    <xf numFmtId="0" fontId="4" fillId="3" borderId="1" applyAlignment="1" pivotButton="0" quotePrefix="0" xfId="0">
      <alignment horizontal="center"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5" fillId="6" borderId="1" pivotButton="0" quotePrefix="0" xfId="0"/>
    <xf numFmtId="0" fontId="5"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9" customWidth="1" min="1" max="1"/>
    <col width="12" customWidth="1" min="2" max="2"/>
    <col width="28" customWidth="1" min="3" max="3"/>
    <col width="24" customWidth="1" min="4" max="4"/>
    <col width="55" customWidth="1" min="5" max="5"/>
    <col width="55" customWidth="1" min="6" max="6"/>
    <col width="14" customWidth="1" min="7" max="7"/>
    <col width="30" customWidth="1" min="8" max="8"/>
  </cols>
  <sheetData>
    <row r="1">
      <c r="A1" s="1" t="inlineStr">
        <is>
          <t>PLAN SECTORIAL DE DESARROLLO 2027-2030 - RAMA JUDICIAL</t>
        </is>
      </c>
    </row>
    <row r="2">
      <c r="A2" s="2" t="inlineStr">
        <is>
          <t>Matriz focalizada de observaciones de Sala Plena sobre Tecnología, Líneas Base, Metas e Indicadores</t>
        </is>
      </c>
    </row>
    <row r="4" ht="28" customHeight="1">
      <c r="A4" s="3" t="inlineStr">
        <is>
          <t># Obs.</t>
        </is>
      </c>
      <c r="B4" s="3" t="inlineStr">
        <is>
          <t>Fecha</t>
        </is>
      </c>
      <c r="C4" s="3" t="inlineStr">
        <is>
          <t>Despacho / Origen</t>
        </is>
      </c>
      <c r="D4" s="3" t="inlineStr">
        <is>
          <t>Eje / Tema Clave</t>
        </is>
      </c>
      <c r="E4" s="3" t="inlineStr">
        <is>
          <t>Observación de la Sala / Despacho</t>
        </is>
      </c>
      <c r="F4" s="3" t="inlineStr">
        <is>
          <t>Respuesta Técnica del Equipo Consultor</t>
        </is>
      </c>
      <c r="G4" s="3" t="inlineStr">
        <is>
          <t>Estado</t>
        </is>
      </c>
      <c r="H4" s="3" t="inlineStr">
        <is>
          <t>Acogida en Documento (Capítulo / Sección)</t>
        </is>
      </c>
    </row>
    <row r="5">
      <c r="A5" s="4" t="n">
        <v>2</v>
      </c>
      <c r="B5" s="4" t="inlineStr">
        <is>
          <t>2026-10-15</t>
        </is>
      </c>
      <c r="C5" s="5" t="inlineStr">
        <is>
          <t>Magistrada Mary Lucero Novoa Moreno</t>
        </is>
      </c>
      <c r="D5" s="4" t="inlineStr">
        <is>
          <t>Líneas Base / Metas / Batería de Indicadores</t>
        </is>
      </c>
      <c r="E5" s="6" t="inlineStr">
        <is>
          <t>2.	Se solicita completar y validar con las unidades administrativas responsables, las líneas base de los indicadores del Plan Sectorial, que aún no se encuentran identificadas o figuran como pendientes, con el fin de establecer para cada indicador un punto de partida verificable que permita evaluar sus avances y desarrollo. 
Esto permitirá valorar de manera objetiva el impacto de las acciones y el cumplimiento real del indicador, asegurando la consistencia del seguimiento durante el cuatrienio.</t>
        </is>
      </c>
      <c r="F5" s="6" t="inlineStr">
        <is>
          <t>Gracias por el comentario. En efecto, tanto la UDAE como el equipo de contratistas han seguido ajustando la información con base en la respuesta frente a la solicitud realizada a las diferentes Unidades ejecutoras para determinar líneas base a partir de las cuales se puedan fijar las iniciativas, metas y mediciones correspondientes. Al momento de cierre del documento enviado a la Sala el pasado 9 de octubre, varias de las Unidades no habían enviado los ajustes solicitados tras las reuniones que esa misma semana se sostuvieron con cada una de ellas. El día de hoy (15 octubre) se sostuvieron las últimas 4 reuniones con las Unidades pendientes por lo que la próxima versión del documento debería ver reflejados en el componente de indicadores y seguimiento las actualizaciones correspondientes para poder cumplir con la solicitud del Despacho.</t>
        </is>
      </c>
      <c r="G5" s="4" t="inlineStr">
        <is>
          <t>En trámite</t>
        </is>
      </c>
      <c r="H5" s="6" t="inlineStr">
        <is>
          <t>Capítulo V / Anexo Indicadores</t>
        </is>
      </c>
    </row>
    <row r="6">
      <c r="A6" s="7" t="n">
        <v>6</v>
      </c>
      <c r="B6" s="7" t="inlineStr">
        <is>
          <t>2026-10-15</t>
        </is>
      </c>
      <c r="C6" s="8" t="inlineStr">
        <is>
          <t>Magistrada Mary Lucero Novoa Moreno</t>
        </is>
      </c>
      <c r="D6" s="7" t="inlineStr">
        <is>
          <t>Transformación Digital / Tecnología</t>
        </is>
      </c>
      <c r="E6" s="9" t="inlineStr">
        <is>
          <t>6.	Se solicita revisar el indicador 3.4 relacionado con el uso efectivo de herramientas de inteligencia artificial institucionales conforme a los lineamientos jurisprudenciales de la IA, definidos por la sentencia T-323/24 y por el Consejo Superior de la Judicatura en el Acuerdo PCSJA24-12243. 
En particular, surge la necesidad de establecer cómo se logrará, en la práctica, la identificación y la medición del número de usuarios que utilicen las herramientas de IA y su conformidad con las exigencias jurisprudenciales y administrativas.</t>
        </is>
      </c>
      <c r="F6" s="9" t="inlineStr">
        <is>
          <t>Gracias por el comentario. El indicador 3.4 se compone de dos subindicadores complementarios: el primero mide el volumen de uso de las herramientas institucionales de IA, y el segundo su uso efectivo, es decir, su conformidad con los lineamientos de la Sentencia T-323 de 2024 y del Acuerdo PCSJA24-12243. La definición de los indicadores y de las líneas de base no dependió de la discrecionalidad del equipo. Por esta razón, se solicitó a las unidades ejecutoras responsables que propusieran o reportaran los indicadores y las líneas de base de su competencia, dado que son ellas quienes cuentan con la información y quienes responderán por su cumplimiento. Por ello, la forma concreta de identificar a los usuarios y de medir la conformidad se definirá con la UTDI en la ficha técnica del indicador y mediante reuniones con la UTDI.</t>
        </is>
      </c>
      <c r="G6" s="7" t="inlineStr">
        <is>
          <t>En trámite</t>
        </is>
      </c>
      <c r="H6" s="9" t="inlineStr">
        <is>
          <t>Capítulo V / Anexo Indicadores</t>
        </is>
      </c>
    </row>
    <row r="7">
      <c r="A7" s="4" t="n">
        <v>10</v>
      </c>
      <c r="B7" s="4" t="inlineStr">
        <is>
          <t>2026-10-15</t>
        </is>
      </c>
      <c r="C7" s="5" t="inlineStr">
        <is>
          <t>Jorge Luis Trujillo Alfaro</t>
        </is>
      </c>
      <c r="D7" s="4" t="inlineStr">
        <is>
          <t>Líneas Base / Metas / Batería de Indicadores</t>
        </is>
      </c>
      <c r="E7" s="6" t="inlineStr">
        <is>
          <t>En los indicadores
Solo hay indicadores de seguimiento .</t>
        </is>
      </c>
      <c r="F7" s="6" t="inlineStr">
        <is>
          <t>Gracias por el comentario. Se precisa mayor claridad frente al mismo dado que la batería de indicadores también contempla indicadores de resultado y de impacto. El equipo procede a hacer una revisión uno a uno de los indicadores. Se constata que hay indicadores de impacto, resultado y de seguimiento.</t>
        </is>
      </c>
      <c r="G7" s="4" t="inlineStr">
        <is>
          <t>En trámite</t>
        </is>
      </c>
      <c r="H7" s="6" t="inlineStr">
        <is>
          <t>Capítulo V / Anexo Indicadores</t>
        </is>
      </c>
    </row>
    <row r="8">
      <c r="A8" s="7" t="n">
        <v>12</v>
      </c>
      <c r="B8" s="7" t="inlineStr">
        <is>
          <t>2026-10-15</t>
        </is>
      </c>
      <c r="C8" s="8" t="inlineStr">
        <is>
          <t>Jorge Luis Trujillo Alfaro</t>
        </is>
      </c>
      <c r="D8" s="7" t="inlineStr">
        <is>
          <t>Transformación Digital / Tecnología</t>
        </is>
      </c>
      <c r="E8" s="9" t="inlineStr">
        <is>
          <t>Transformación digital y tecnológica
En el objetivo específico 2 se menciona la interoperabilidad para el intercambio de información, sin mencionar lo que el diagnóstico produjo sobre lo costoso de la interoperabilidad y la opción de unificación.
Se coloca un objetivo específico 3 y se le asigna un indicador a la implementación de un modelo de gobernanza de la tecnología, como si no existiera un modelo que propuso la dirección ejecutiva y sobre el cual se tomaron las decisiones tecnológicas.
El objetivo específico 6 de soberanía tecnológica tienen un indicador de custodia de información, con soberanía digital y estándares abiertos, que es lo opuesto a lo que hoy se tiene planeado, presupuestado y contratado.
Hay objetivos específicos tecnológicos como el 7 que trata de la fortalecer la infraestructura  y el indicador trata de audiencias judiciales suspendidas, lo que no abarca todo el objetivo.
La linea base del objetivo específico 8 parte de 0, como si no se hubieran gestionado con un esquema de ciclo de vida integral
Todo el seguimiento en tecnología esta cargo de quien planea, programa y ejecuta lo que debe replantearse.</t>
        </is>
      </c>
      <c r="F8" s="9" t="inlineStr">
        <is>
          <t>Gracias por el comentario. Sobre cada punto: (i) Interoperabilidad (indicador 3.2): se refiere al intercambio con entidades externas (DIAN, Fiscalía, entre otras), lo que no excluye la unificación de sistemas internos analizada en el diagnóstico. (ii) Gobernanza de TI (indicador 3.3): no desconoce el modelo de gobierno de TI existente; busca medir que sus instrumentos se traduzcan en decisiones efectivas. (iii) Soberanía tecnológica (indicador 3.6): la propuesta es migrar progresivamente hacia estándares abiertos, en línea con el diagnóstico y las tendencias internacionales, sin desconocer lo planeado y contratado. (iv) Infraestructura (indicador 3.7): el indicador de audiencias suspendidas se acordó con la UTDI y la UDAE como medida de muestra, porque en las audiencias confluyen disponibilidad, conectividad y sistemas. (v) Líneas base, incluida la del ciclo de vida de los activos (indicador 3.8): La definición de los indicadores y de las líneas de base no dependió de la discrecionalidad del equipo. Por esta razón, se solicitó a las unidades ejecutoras responsables que propusieran o reportaran los indicadores y las líneas de base de su competencia, dado que son ellas quienes cuentan con la información y quienes responderán por su cumplimiento. (vi) La observación sobre la instancia a cargo del seguimiento se revisará con la UDAE, en el marco del modelo de seguimiento del Plan.</t>
        </is>
      </c>
      <c r="G8" s="7" t="inlineStr">
        <is>
          <t>En trámite</t>
        </is>
      </c>
      <c r="H8" s="9" t="inlineStr">
        <is>
          <t>Capítulo V / Anexo Indicadores</t>
        </is>
      </c>
    </row>
    <row r="9">
      <c r="A9" s="4" t="n">
        <v>23</v>
      </c>
      <c r="B9" s="4" t="inlineStr">
        <is>
          <t>2026-10-15</t>
        </is>
      </c>
      <c r="C9" s="5" t="inlineStr">
        <is>
          <t>Dirección de la UDAE</t>
        </is>
      </c>
      <c r="D9" s="4" t="inlineStr">
        <is>
          <t>Líneas Base / Metas / Batería de Indicadores</t>
        </is>
      </c>
      <c r="E9" s="6" t="inlineStr">
        <is>
          <t>•	Indicadores, líneas base y metas: se cuestiona que varios indicadores estén orientados principalmente a medir productos y no resultados o impactos. Persisten líneas base, metas y fórmulas pendientes, por lo que se solicita fortalecer los mecanismos de seguimiento y evaluación e incorporar indicadores de resultado e impacto que permitan valorar los efectos reales de las intervenciones.</t>
        </is>
      </c>
      <c r="F9" s="6" t="inlineStr">
        <is>
          <t>Gracias por el comentario. La naturaleza de los indicadores es variada. El documento prevé indicadores de resultado, de impacto, de producto y en algunos casos puntuales de gestión. No todo indicador puede o debe necesariamente ser de impacto dada la naturaleza de las actividades que se miden. En ese sentido se ha buscado que la batería de indicadores, que deben en última instancia garantizar el cumplimiento o satisfacción de los objetivos específicos correspondientes, se integren de manera armónica con el resultado esperado. En materia de líneas base, cabe aclarar que se ha venido trabajando con cada una de las Unidades ejecutoras dado que son dichas Unidades las que proveen la información correspondiente. Se ajustarán los elementos faltantes en la medida en que la información se concerte con las Unidades.</t>
        </is>
      </c>
      <c r="G9" s="4" t="inlineStr">
        <is>
          <t>En trámite</t>
        </is>
      </c>
      <c r="H9" s="6" t="inlineStr">
        <is>
          <t>Capítulo V / Anexo Indicadores</t>
        </is>
      </c>
    </row>
    <row r="10">
      <c r="A10" s="7" t="n">
        <v>26</v>
      </c>
      <c r="B10" s="7" t="inlineStr">
        <is>
          <t>2026-10-15</t>
        </is>
      </c>
      <c r="C10" s="8" t="inlineStr">
        <is>
          <t>Dirección de la UDAE</t>
        </is>
      </c>
      <c r="D10" s="7" t="inlineStr">
        <is>
          <t>Transformación Digital / Tecnología</t>
        </is>
      </c>
      <c r="E10" s="9" t="inlineStr">
        <is>
          <t>•	Tecnología e infraestructura: se plantean ajustes en materia de interoperabilidad, gobernanza tecnológica, custodia de la información, infraestructura y ciclo de vida de los activos. También se observa que algunos indicadores o líneas base no reflejan adecuadamente los avances, inversiones o decisiones institucionales ya adoptadas. Se deben reflejar los avances en materia de tecnología e infraestructura realizados dentro de la ejecución del plan vigente, revisar líneas base que no se puede iniciar de cero, contrastar lo que obtenido en el trabajo de campo (entrevistas, encuestas, etc.) con lo logrado en estos temas.</t>
        </is>
      </c>
      <c r="F10" s="9" t="inlineStr">
        <is>
          <t>Las líneas base de tecnología se revisarán para reconocer los avances del PSD 2023-2026 y del PETD (gobierno de TI, ciclo de vida de los activos e infraestructura), de modo que no partan de cero cuando ya existe gestión previa. La definición de los indicadores y de las líneas de base no dependió de la discrecionalidad del equipo. Por esta razón, se solicitó a las unidades ejecutoras responsables que propusieran o reportaran los indicadores y las líneas de base de su competencia, dado que son ellas quienes cuentan con la información y quienes responderán por su cumplimiento.</t>
        </is>
      </c>
      <c r="G10" s="7" t="inlineStr">
        <is>
          <t>En trámite</t>
        </is>
      </c>
      <c r="H10" s="9" t="inlineStr">
        <is>
          <t>Capítulo V / Anexo Indicadores</t>
        </is>
      </c>
    </row>
    <row r="11">
      <c r="A11" s="4" t="n">
        <v>49</v>
      </c>
      <c r="B11" s="4" t="inlineStr">
        <is>
          <t>2026-10-15</t>
        </is>
      </c>
      <c r="C11" s="5" t="inlineStr">
        <is>
          <t>Claudia Expósito Velez</t>
        </is>
      </c>
      <c r="D11" s="4" t="inlineStr">
        <is>
          <t>Líneas Base / Metas / Batería de Indicadores</t>
        </is>
      </c>
      <c r="E11" s="6" t="inlineStr">
        <is>
          <t>Por otro lado, desde la aprobación de la hoja de ruta el 8 de octubre de 2025, la Sala pidió que el Plan contara con indicadores de gestión, de resultado y de impacto. Lo reiteró el 22 de abril de 2026, y el 2 de septiembre solicitó incorporar la medición de impacto como complemento de los indicadores de cumplimiento. No obstante, la batería del capítulo V sigue compuesta en su mayoría por indicadores de producto o de avance por fases, y no permite medir los cambios que el propio Plan propone como medida de su éxito: el acceso efectivo, la mora judicial y la satisfacción de los usuarios. Los despachos formularon propuestas concretas que podrían acogerse, como medir el uso efectivo de los canales de atención y no solo su creación, la calidad de los datos y no la sola formalización de políticas, el impacto de los programas de bienestar y no solo su ejecución, y el uso de la inteligencia artificial conforme a los lineamientos institucionales y no el volumen de consultas. Propusieron también incorporar un indicador de evolución de la congestión. Se sugirió, además:
•	Ajustar la periodicidad de la medición de las metas, ya que algunas deberán ser anuales y otras del total del periodo (4 años), o pueden ser porcentuales. 
•	Diferenciar los indicadores de producto de los de resultado.
•	Incorporar las evaluaciones de medio término y de cierre previstas en el acuerdo de metodología.
•	Validar con las áreas responsables las líneas base que hoy desconocen avances existentes y algunos que figuran como “Pendiente”. 
•	Asignar el seguimiento a una instancia distinta de la que ejecuta.
Así mismo, la Sala pidió el 2 de septiembre distinguir la insuficiencia presupuestal de las dificultades de ejecución y reconocer que la asignación de recursos depende también del Gobierno y del Congreso. En ese marco, se proponen los siguientes ajustes:
•	Presentar el porcentaje del artículo 192C de la Ley 270 de 1996, reformada por la Ley 2430 de 2024, como un mandato de realización gradual, conforme al alcance fijado por la Corte Constitucional, y separar de ese cálculo el pago de sentencias.
•	Incluir la propuesta de incremento anual del presupuesto que el artículo 87 de la misma Ley exige como contenido mínimo.
•	Diferenciar las metas que cuentan con financiación de aquellas que dependen de recursos adicionales, procurando reducir la dependencia del crédito externo.
•	Concretar las vigencias futuras.
•	Evaluar la pertinencia de los proyectos de inversión vigentes.
•	Prever el gasto recurrente que generarán las nuevas inversiones.
Adicionalmente, se recomienda eliminar las referencias al SIGGMA 2.0 contenidas en las páginas 99 y 102, toda vez que dicho sistema aún no ha sido aprobado institucionalmente</t>
        </is>
      </c>
      <c r="F11" s="6" t="inlineStr">
        <is>
          <t>Agradecemos la observación y coincidimos en la importancia de contar con indicadores de resultado e impacto, conforme a lo solicitado por la Sala. Inicialmente, el equipo consultor propuso indicadores en ese sentido; sin embargo, fueron ajustados para lograr un balance con las capacidades y los recursos de las unidades, que serán las responsables de su cumplimiento. Por esta razón, la metodología ha abordado esta etapa del proceso en diálogo continuo con las unidades, de manera que los indicadores reflejen su trabajo y sean efectivamente alcanzables. Esto representa, a su vez, un desafío para lograr indicadores de impacto que abarquen todas las aristas de cada objetivo. En todo caso, el equipo consultor se reunirá con las unidades responsables para buscar un mejor balance en la batería de indicadores, tomando como insumo las propuestas formuladas por los despachos, como la medición del uso efectivo de los canales de atención, la calidad de los datos, el impacto de los programas de bienestar, el uso de la inteligencia artificial conforme a los lineamientos institucionales y la evolución de la congestión.</t>
        </is>
      </c>
      <c r="G11" s="4" t="inlineStr">
        <is>
          <t>En trámite</t>
        </is>
      </c>
      <c r="H11" s="6" t="inlineStr">
        <is>
          <t>Capítulo V / Anexo Indicadores</t>
        </is>
      </c>
    </row>
    <row r="12">
      <c r="A12" s="7" t="n">
        <v>67</v>
      </c>
      <c r="B12" s="7" t="inlineStr">
        <is>
          <t>2026-10-15</t>
        </is>
      </c>
      <c r="C12" s="8" t="inlineStr">
        <is>
          <t>Liliana Rosa Cardona Chagüi</t>
        </is>
      </c>
      <c r="D12" s="7" t="inlineStr">
        <is>
          <t>Inversiones y Coherencia de Indicadores</t>
        </is>
      </c>
      <c r="E12" s="9" t="inlineStr">
        <is>
          <t>Tercera: las cifras del Plan no son consistentes entre sí. El recaudo propio de 2026 y 2027 aparece en la Tabla 13 del capítulo sexto del documento y se tasó en 1,45 y 1,5 billones de pesos. En cambio, la proyección de ingresos, que se encuentra en la Tabla 3 del mismo capítulo, lo estima en 934 mil y 983 mil millones de pesos, respectivamente. Es decir, el Plan no tiene una cifra única de los ingresos con los que cuenta para financiarse.
Así mismo, la inversión en transformación digital asciende a 3,17 billones como se logra evidenciar en la Tabla 9 del eje 7 del documento y no resulta uniforme con la cifra de  3,12 billones que se presenta en la Tabla 10 del capítulo sexto. Esa misma Tabla 9 advierte que no se conocen cifras de costeo tecnológico para 2027-2030, aunque las presenta.
En esa línea, entre 2028 y 2030 la inversión supera el recaudo en 1,64 billones de pesos. El Plan Sectorial como se plantea remite su cobertura al Presupuesto General de la Nación o a un nuevo crédito externo, pero no prevé un escenario de priorización para el caso en que esos recursos no se obtengan. Tampoco precisa el uso de la garantía del 3 % prevista en el artículo 192C de la ley estaturia de administración judicial.
A ello se suma que la batería de indicadores no está concluida. Hay metas sin valor definido, líneas base marcadas como pendientes o por construir, y notas internas de revisión. Además, no fueron remitidos los anexos que soportan el marco lógico, las fichas de indicadores y el banco de iniciativas. Sin ellos no es posible verificar la trazabilidad entre iniciativa, meta y fuente de financiación, que es precisamente lo que la Sala exigió el 16 de septiembre pasado.
Por último, la introducción afirma que el documento ya incorpora el concepto previo de la Comisión Interinstitucional, cuando este no ha sido emitido. Tampoco se articula con el Sistema Nacional de Estadísticas Judiciales creado por disposición de la Ley 2430 de 2024, ni se precisa si el Modelo Integrado de Planeación que se incluye corresponde al que hoy estudia la Corporación.</t>
        </is>
      </c>
      <c r="F12" s="9" t="inlineStr">
        <is>
          <t>Las tablas de ingresos en la nueva versión del documento corresponde a los números 4, 6 y 15. Bajo esta última, se explica la diferencia en los valores de 2026 y 2027 frente a los ingresos presentados en las dos primeras. Mientras las dos primeras informan el pronóstico de recaudo, la última muestra el presupuesto definido para el caso de 2026 y propuesto por el gobierno nacional para 2027 en su Proyecto de Ley de Presupuesto. La diferencia entre una y otra información radica en que las proyecciones de ingresos no incorporan otras fuentes como los excedentes de otras vigencias.
También se incluye la sección 6,3, Ruta para la programación de la inversión de 2028, en donde se detalla el proceso a seguir respecto del requerimiento adicional de presupuesto.
Finalmente, se incluye la sección "6.1 Incorporación de iniciativas con recursos adicionales" en donde se propone la asignación de recursos priorizados para nuevas iniciativas.</t>
        </is>
      </c>
      <c r="G12" s="7" t="inlineStr">
        <is>
          <t>SÍ</t>
        </is>
      </c>
      <c r="H12" s="9" t="inlineStr">
        <is>
          <t>Sección 6.3., sección Incorporación de iniciativas con recursos adicionales y tablas 4, 6 y 15.</t>
        </is>
      </c>
    </row>
    <row r="13">
      <c r="A13" s="4" t="n">
        <v>68</v>
      </c>
      <c r="B13" s="4" t="inlineStr">
        <is>
          <t>2026-10-15</t>
        </is>
      </c>
      <c r="C13" s="5" t="inlineStr">
        <is>
          <t>Liliana Rosa Cardona Chagüi</t>
        </is>
      </c>
      <c r="D13" s="4" t="inlineStr">
        <is>
          <t>Inversiones y Coherencia de Indicadores</t>
        </is>
      </c>
      <c r="E13" s="6" t="inlineStr">
        <is>
          <t>Propuesta
Propongo a la Sala devolver el plan de inversiones y la batería de indicadores, para que en la próxima sesión ordinaria se presente una versión que se ajuste en los siguientes aspectos:
1.	Incorpore las instrucciones de la Sala.
2.	Asigne recursos al eje de justicia oportuna o identifique sus fuentes de financiación.
3.	Formule indicadores de resultado e impacto, con línea base y fuente.
4.	Concilie las cifras entre tablas.
5.	Incluya un escenario de priorización ante el faltante de 1,64 billones de pesos.
Esa versión debe remitirse con sus anexos y con un cronograma que garantice el concepto de la Comisión Interinstitucional y la entrega al Gobierno Nacional antes del 15 de noviembre de este año. Así se cumple el plazo legal sin remitir un documento cuyas cifras no estén debidamente soportadas.</t>
        </is>
      </c>
      <c r="F13" s="6" t="inlineStr">
        <is>
          <t>Sobre la asignación de recursos por ejes:  Si bien, el grueso de la inversión se relaciona con el ámbito tecnológico, el impacto previsto de las iniciativas de un objetivo es que sea transversal a otros. Para ilustrar este caso, se incorpora la tabla 18 del numeral 7. DETALLE DE LA INVERSIÓN Y ARTICULACIÓN CON EL PSD, el Efecto transversal de las iniciativas, en donde se puede ver el impacto cruzado de las inversiones hacia otros objetivos de la Rama para el cuatrienio. 
Sobre la conciliación de cifras, las tablas de ingresos en la nueva versión del documento corresponden a los números 4, 6 y 15. Bajo esta última, se explica la diferencia en los valores de 2026 y 2027 frente a los ingresos presentados en las dos primeras. Mientras las dos primeras informan el pronóstico de recaudo, la última muestra el presupuesto definido para el caso de 2026 y propuesto por el gobierno nacional para 2027 en su Proyecto de Ley de Presupuesto. La diferencia entre una y otra información radica en que las proyecciones de ingresos no incorporan otras fuentes como los excedentes de otras vigencias.
Sobre la priorización, se incluye la sección "6.1 Incorporación de iniciativas con recursos adicionales" en donde se propone la asignación de recursos priorizados para nuevas iniciativas.</t>
        </is>
      </c>
      <c r="G13" s="4" t="inlineStr">
        <is>
          <t>SÍ</t>
        </is>
      </c>
      <c r="H13" s="6" t="inlineStr">
        <is>
          <t>Tablas 4, 6 y 15, tabla 18.</t>
        </is>
      </c>
    </row>
    <row r="14">
      <c r="A14" s="7" t="n">
        <v>69</v>
      </c>
      <c r="B14" s="7" t="inlineStr">
        <is>
          <t>2026-10-15</t>
        </is>
      </c>
      <c r="C14" s="8" t="inlineStr">
        <is>
          <t>Aurelio Enrique Rodríguez Guzmán</t>
        </is>
      </c>
      <c r="D14" s="7" t="inlineStr">
        <is>
          <t>Líneas Base / Metas / Batería de Indicadores</t>
        </is>
      </c>
      <c r="E14" s="9" t="inlineStr">
        <is>
          <t>Si bien el documento representa un trabajo riguroso de diagnóstico y prospectiva, se sugiere incorporar las siguientes observaciones:
•	La batería de indicadores del capítulo V conserva líneas base “pendiente”, “no conocido por seccional o por construir en 2027”, metas indeterminadas como “incremento anual de X %, ponderaciones sin definir y anotaciones internas del equipo de trabajo revisar con UDAE, pendiente por validar por equipo. Además, no incluye indicadores de resultado sobre tiempos procesales, inventario, índices de evacuación o proporción de necesidades jurídicas sin respuesta, pese a que el capítulo II compromete la medición de la contribución del Plan al ODS 16 precisamente en la reducción de la inacción ciudadana 47 % y de la mora procesal. Por lo cual, se recomienda completar las fichas técnicas antes de la adopción y agregar al eje de justicia oportuna y eficiente indicadores de impacto con línea base, en especial la duración de los procesos por especialidad y etapa.</t>
        </is>
      </c>
      <c r="F14" s="9" t="inlineStr">
        <is>
          <t>Agradecemos la observación. Los indicadores del capítulo V se construyeron con las unidades responsables de cada objetivo y aún se encuentran en revisión. Ya las lineas base fueron toas incorporadas.
Las observaciones recibidas se están compartiendo con las unidades responsables para incorporarlas en la versión final. Antes de la adopción del Plan se completarán las fichas técnicas de cada indicador, con línea base, meta, fórmula, ponderación, frecuencia y fuente, y se retirarán las anotaciones internas del equipo de trabajo.
Sobre los indicadores de resultado, precisamos lo siguiente:
Justicia oportuna y eficiente. El eje habiamos propuesto indicadores de evacuación total con línea base para la jurisdicción ordinaria (47,7 %) y para la de lo contencioso administrativo (41 %). Desde la unidad responsable se pidio eliminar esos indicadores. Entonces, se evaluará con la Unidad de Desarrollo y Análisis Estadístico la incorporación de un indicador de duración de los procesos por especialidad y etapa, en coherencia con el compromiso del capítulo II. Su línea base dependerá de la actualización de la medición de tiempos procesales, cuya última referencia corresponde al estudio de 2015 (227,1 días hábiles).
Necesidades jurídicas sin respuesta. El eje de servicio a la ciudadanía y acceso a la justicia contempla la aplicación de una encuesta de necesidades jurídicas por parte de la Rama Judicial. Esa encuesta permitirá medir la evolución de la inacción ciudadana frente a la línea base del 47 % y, con ello, la contribución del Plan al ODS 16.</t>
        </is>
      </c>
      <c r="G14" s="7" t="inlineStr">
        <is>
          <t>En trámite</t>
        </is>
      </c>
      <c r="H14" s="9" t="inlineStr">
        <is>
          <t>Capítulo V / Anexo Indicadores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showGridLines="1" workbookViewId="0">
      <pane ySplit="4" topLeftCell="A5" activePane="bottomLeft" state="frozen"/>
      <selection pane="bottomLeft" activeCell="A1" sqref="A1"/>
    </sheetView>
  </sheetViews>
  <sheetFormatPr baseColWidth="8" defaultRowHeight="15"/>
  <cols>
    <col width="30" customWidth="1" min="1" max="1"/>
    <col width="30" customWidth="1" min="2" max="2"/>
    <col width="16" customWidth="1" min="3" max="3"/>
    <col width="16" customWidth="1" min="4" max="4"/>
    <col width="42" customWidth="1" min="5" max="5"/>
    <col width="12" customWidth="1" min="6" max="6"/>
    <col width="35" customWidth="1" min="7" max="7"/>
    <col width="14" customWidth="1" min="8" max="8"/>
    <col width="18" customWidth="1" min="9" max="9"/>
    <col width="15" customWidth="1" min="10" max="10"/>
  </cols>
  <sheetData>
    <row r="1">
      <c r="A1" s="1" t="inlineStr">
        <is>
          <t>BATERÍA DE INDICADORES - EJE DE TRANSFORMACIÓN DIGITAL Y TECNOLÓGICA (OE 3)</t>
        </is>
      </c>
    </row>
    <row r="2">
      <c r="A2" s="2" t="inlineStr">
        <is>
          <t>Estructura técnica consensuada con UTDI / UDAE tras observaciones de Sala Plena</t>
        </is>
      </c>
    </row>
    <row r="4" ht="28" customHeight="1">
      <c r="A4" s="10" t="inlineStr">
        <is>
          <t>Obj. Específico</t>
        </is>
      </c>
      <c r="B4" s="10" t="inlineStr">
        <is>
          <t>Indicador</t>
        </is>
      </c>
      <c r="C4" s="10" t="inlineStr">
        <is>
          <t>Línea Base</t>
        </is>
      </c>
      <c r="D4" s="10" t="inlineStr">
        <is>
          <t>Meta Cuatrienio</t>
        </is>
      </c>
      <c r="E4" s="10" t="inlineStr">
        <is>
          <t>Alcance del Indicador</t>
        </is>
      </c>
      <c r="F4" s="10" t="inlineStr">
        <is>
          <t>Pond. (%)</t>
        </is>
      </c>
      <c r="G4" s="10" t="inlineStr">
        <is>
          <t>Ecuación / Fórmula</t>
        </is>
      </c>
      <c r="H4" s="10" t="inlineStr">
        <is>
          <t>Frecuencia</t>
        </is>
      </c>
      <c r="I4" s="10" t="inlineStr">
        <is>
          <t>Responsable</t>
        </is>
      </c>
      <c r="J4" s="10" t="inlineStr">
        <is>
          <t>Tipo Indicador</t>
        </is>
      </c>
    </row>
    <row r="5">
      <c r="A5" s="6" t="inlineStr">
        <is>
          <t>1.Desarrollar las capacidades digitales teniendo en cuenta un modelo de arquitectura empresarial.</t>
        </is>
      </c>
      <c r="B5" s="6" t="inlineStr">
        <is>
          <t>Porcentaje de Arquitecturas de referencia documentadas</t>
        </is>
      </c>
      <c r="C5" s="11" t="inlineStr">
        <is>
          <t>0%</t>
        </is>
      </c>
      <c r="D5" s="11" t="inlineStr">
        <is>
          <t>15%</t>
        </is>
      </c>
      <c r="E5" s="6" t="inlineStr">
        <is>
          <t>Permite demostrar cómo se implementan las arquitecturas de manera más amplia</t>
        </is>
      </c>
      <c r="F5" s="4" t="inlineStr">
        <is>
          <t>100%</t>
        </is>
      </c>
      <c r="G5" s="6" t="inlineStr">
        <is>
          <t>(Arquitecturas de referencia documentadas / Total de arquitecturas de la Rama) * 100</t>
        </is>
      </c>
      <c r="H5" s="4" t="inlineStr">
        <is>
          <t>Semestral</t>
        </is>
      </c>
      <c r="I5" s="11" t="inlineStr">
        <is>
          <t>UTDI</t>
        </is>
      </c>
      <c r="J5" s="4" t="inlineStr">
        <is>
          <t>Producto</t>
        </is>
      </c>
    </row>
    <row r="6">
      <c r="A6" s="9" t="inlineStr">
        <is>
          <t>2. consolidar mecanismos de interoperabilidad que garanticen el intercambio confiable de información para mejorar la eficiencia y la celeridad en el servicio.</t>
        </is>
      </c>
      <c r="B6" s="9" t="inlineStr">
        <is>
          <t>Servicios de interoperabilidad e integraciones con externos implementadas</t>
        </is>
      </c>
      <c r="C6" s="12" t="inlineStr">
        <is>
          <t>13</t>
        </is>
      </c>
      <c r="D6" s="12" t="inlineStr">
        <is>
          <t>25</t>
        </is>
      </c>
      <c r="E6" s="9" t="inlineStr">
        <is>
          <t>Cuantifica el número de servicios e integraciones técnicas habilitadas para el intercambio continuo y confiable de información procesal e interinstitucional.</t>
        </is>
      </c>
      <c r="F6" s="7" t="inlineStr">
        <is>
          <t>100%</t>
        </is>
      </c>
      <c r="G6" s="9" t="inlineStr">
        <is>
          <t>Total de servicios de interoperabilidad e integraciones puestos en producción en la vigencia.</t>
        </is>
      </c>
      <c r="H6" s="7" t="inlineStr">
        <is>
          <t>Semestral</t>
        </is>
      </c>
      <c r="I6" s="12" t="inlineStr">
        <is>
          <t>UTDI</t>
        </is>
      </c>
      <c r="J6" s="7" t="inlineStr">
        <is>
          <t>Resultado</t>
        </is>
      </c>
    </row>
    <row r="7">
      <c r="A7" s="6" t="inlineStr">
        <is>
          <t>3. Implementar un modelo de gobernanza de las tecnologías de la información que asegure su gestión estratégica y su uso ético, seguro y alineado con las políticas de la Rama Judicial.</t>
        </is>
      </c>
      <c r="B7" s="6" t="inlineStr">
        <is>
          <t>Porcentaje de decisiones de gobierno de TI implementadas por nivel de toma de decisiones</t>
        </is>
      </c>
      <c r="C7" s="11" t="inlineStr">
        <is>
          <t>10%</t>
        </is>
      </c>
      <c r="D7" s="11" t="inlineStr">
        <is>
          <t>50%</t>
        </is>
      </c>
      <c r="E7" s="6" t="inlineStr">
        <is>
          <t>Cuantifica la adopción y puesta en funcionamiento de comités, marcos de seguridad y lineamientos normativos de TI.</t>
        </is>
      </c>
      <c r="F7" s="4" t="inlineStr">
        <is>
          <t>100%</t>
        </is>
      </c>
      <c r="G7" s="6" t="inlineStr">
        <is>
          <t>(Numero de decisiones de gobierno de TI implementadas  / Número de decisiones de gobierno de TI tomadas) * 100</t>
        </is>
      </c>
      <c r="H7" s="4" t="inlineStr">
        <is>
          <t>Semestral</t>
        </is>
      </c>
      <c r="I7" s="11" t="inlineStr">
        <is>
          <t>Comité de Transformación Digital / UTDI</t>
        </is>
      </c>
      <c r="J7" s="4" t="inlineStr">
        <is>
          <t>Impacto</t>
        </is>
      </c>
    </row>
    <row r="8">
      <c r="A8" s="9" t="inlineStr">
        <is>
          <t>4.  Promover la adopción y el aprovechamiento ético y seguro de la inteligencia artificial.</t>
        </is>
      </c>
      <c r="B8" s="9" t="inlineStr">
        <is>
          <t>Uso efectivo de herramientas IA institucionales</t>
        </is>
      </c>
      <c r="C8" s="12" t="inlineStr">
        <is>
          <t>10%</t>
        </is>
      </c>
      <c r="D8" s="12" t="inlineStr">
        <is>
          <t>50%</t>
        </is>
      </c>
      <c r="E8" s="9" t="inlineStr">
        <is>
          <t>Mide el uso efectivo de herramientas institucionales de IA en actividades repetitivas (síntesis, transcripción, relatoría) bajo directrices éticas</t>
        </is>
      </c>
      <c r="F8" s="7" t="inlineStr">
        <is>
          <t>60%</t>
        </is>
      </c>
      <c r="G8" s="9" t="inlineStr">
        <is>
          <t>Numero de interacciones</t>
        </is>
      </c>
      <c r="H8" s="7" t="inlineStr">
        <is>
          <t>Semestral</t>
        </is>
      </c>
      <c r="I8" s="12" t="inlineStr">
        <is>
          <t>UTDI</t>
        </is>
      </c>
      <c r="J8" s="7" t="inlineStr">
        <is>
          <t>Impacto</t>
        </is>
      </c>
    </row>
    <row r="9">
      <c r="A9" s="6" t="inlineStr"/>
      <c r="B9" s="6" t="inlineStr">
        <is>
          <t>Piloto de evaluación de impacto</t>
        </is>
      </c>
      <c r="C9" s="11" t="inlineStr">
        <is>
          <t>0%</t>
        </is>
      </c>
      <c r="D9" s="11" t="inlineStr">
        <is>
          <t>35% de reducción del tiempo</t>
        </is>
      </c>
      <c r="E9" s="6" t="inlineStr">
        <is>
          <t>/ 10 pilotos de uso aplicados en sandboxes en donde se mida impacto en eficiencia y calidad en actividades priorizadas</t>
        </is>
      </c>
      <c r="F9" s="4" t="inlineStr">
        <is>
          <t>40%</t>
        </is>
      </c>
      <c r="G9" s="6" t="inlineStr">
        <is>
          <t>promedio ([(Tiempo promedio sin IA en actividades priorizadas- Tiempo promedio con IA en actividades priorizadas-) / Tiempo promedio sin IA en actividades priorizadas-] * 100 en cada piloto) . 
Se debe medir diferente para gestión administrativa y judicial</t>
        </is>
      </c>
      <c r="H9" s="4" t="inlineStr">
        <is>
          <t>Semestral</t>
        </is>
      </c>
      <c r="I9" s="11" t="inlineStr">
        <is>
          <t>UTDI</t>
        </is>
      </c>
      <c r="J9" s="4" t="inlineStr">
        <is>
          <t>Impacto</t>
        </is>
      </c>
    </row>
    <row r="10">
      <c r="A10" s="9" t="inlineStr">
        <is>
          <t>5. Aumentar la soberanía tecnológica con el desarrollo de las capacidades digitales y gobernanza para gestionar, controlar y evolucionar los sistemas de información, el código fuente y los datos de la justicia, así como reducir la dependencia crítica interna o de terceros.</t>
        </is>
      </c>
      <c r="B10" s="9" t="inlineStr">
        <is>
          <t>Porcentaje de sistemas de información custodiados bajo soberanía digital y estándares abiertos</t>
        </is>
      </c>
      <c r="C10" s="12" t="inlineStr">
        <is>
          <t>No disponible. La unidad responsable deberá medir la LB durante el primer semestre del 2027.</t>
        </is>
      </c>
      <c r="D10" s="12" t="inlineStr">
        <is>
          <t>33%</t>
        </is>
      </c>
      <c r="E10" s="9" t="inlineStr">
        <is>
          <t>Refleja la autonomía tecnológica cuantificando aplicativos core con código fuente en repositorio propio de la Rama, asío como código abierto</t>
        </is>
      </c>
      <c r="F10" s="7" t="inlineStr">
        <is>
          <t>100%</t>
        </is>
      </c>
      <c r="G10" s="9" t="inlineStr">
        <is>
          <t>(Sistemas con código en repositorio propio / Total de sistemas en operación) * 100</t>
        </is>
      </c>
      <c r="H10" s="7" t="inlineStr">
        <is>
          <t>Anual</t>
        </is>
      </c>
      <c r="I10" s="12" t="inlineStr">
        <is>
          <t>UTDI</t>
        </is>
      </c>
      <c r="J10" s="7" t="inlineStr">
        <is>
          <t>Impacto</t>
        </is>
      </c>
    </row>
    <row r="11">
      <c r="A11" s="6" t="inlineStr">
        <is>
          <t>6. Fortalecer la infraestructura y los servicios de conectividad para aumentar la disponibilidad y continuidad de la operación tecnológica, así como la gestión y el monitoreo.</t>
        </is>
      </c>
      <c r="B11" s="6" t="inlineStr">
        <is>
          <t>Audiencias judiciales virtuales suspendidas por incidentes tecnológicos</t>
        </is>
      </c>
      <c r="C11" s="11" t="inlineStr">
        <is>
          <t>3.5%</t>
        </is>
      </c>
      <c r="D11" s="11" t="inlineStr">
        <is>
          <t>&lt;= 1.0%</t>
        </is>
      </c>
      <c r="E11" s="6" t="inlineStr">
        <is>
          <t>Mide la continuidad del servicio judicial al mitigar caídas de red y plataformas que paralizan actuaciones judiciales.</t>
        </is>
      </c>
      <c r="F11" s="4" t="inlineStr">
        <is>
          <t>100%</t>
        </is>
      </c>
      <c r="G11" s="6" t="inlineStr">
        <is>
          <t>(Audiencias virtuales suspendidas por fallas TI / Total audiencias virtuales realizadas) * 100</t>
        </is>
      </c>
      <c r="H11" s="4" t="inlineStr">
        <is>
          <t>Trimestral</t>
        </is>
      </c>
      <c r="I11" s="11" t="inlineStr">
        <is>
          <t>UTDI</t>
        </is>
      </c>
      <c r="J11" s="4" t="inlineStr">
        <is>
          <t>Impacto</t>
        </is>
      </c>
    </row>
    <row r="12">
      <c r="A12" s="9" t="inlineStr">
        <is>
          <t>7. Gestionar de manera integral el ciclo de vida de los activos tecnológicos (adquisición, licenciamiento, renovación y sostenibilidad de software y hardware), con un enfoque de sostenibilidad financiera, operativa y ambiental, y su pertinencia frente a la prestación del servicio.</t>
        </is>
      </c>
      <c r="B12" s="9" t="inlineStr">
        <is>
          <t>Activos tecnológicos administrados bajo el esquema de ciclo de vida integral</t>
        </is>
      </c>
      <c r="C12" s="12" t="inlineStr">
        <is>
          <t>5%</t>
        </is>
      </c>
      <c r="D12" s="12" t="inlineStr">
        <is>
          <t>70%</t>
        </is>
      </c>
      <c r="E12" s="9" t="inlineStr">
        <is>
          <t>Mide la optimización en adquisición, renovación, mantenimiento y desincorporación (RAEE) del parque informático.</t>
        </is>
      </c>
      <c r="F12" s="7" t="inlineStr">
        <is>
          <t>100%</t>
        </is>
      </c>
      <c r="G12" s="9" t="inlineStr">
        <is>
          <t>(Activos tecnológicos con ciclo de vida integral documentado / Total de activos tecnológicos) * 100</t>
        </is>
      </c>
      <c r="H12" s="7" t="inlineStr">
        <is>
          <t>Semestral</t>
        </is>
      </c>
      <c r="I12" s="12" t="inlineStr">
        <is>
          <t>UTDI</t>
        </is>
      </c>
      <c r="J12" s="7" t="inlineStr">
        <is>
          <t>Producto</t>
        </is>
      </c>
    </row>
    <row r="13">
      <c r="A13" s="6" t="inlineStr">
        <is>
          <t>8. Rediseñar soluciones de gestión judicial de los despachos judiciales y las demás dependencias de la Rama Judicial mediante la implementación gradual de herramientas digitales de gestión, información y priorización de flujos de trabajo.</t>
        </is>
      </c>
      <c r="B13" s="6" t="inlineStr">
        <is>
          <t>Procesos judiciales tramitados digitalmente</t>
        </is>
      </c>
      <c r="C13" s="11" t="inlineStr">
        <is>
          <t>10%</t>
        </is>
      </c>
      <c r="D13" s="11" t="inlineStr">
        <is>
          <t>60%</t>
        </is>
      </c>
      <c r="E13" s="6" t="inlineStr">
        <is>
          <t>Cuantifica el avance de las soluciones de gestión judicial, los procesos nuevos tramitados de forma digital , desde su radicación en ventanilla judicial electrónica, su trámite judicial y su almacenamiento en el sistema de gestión documental electrónico, con relación a todos los procesos judiciales ingresados en las jurisdicciones y especialidades a nivel de ciruito priorizados.</t>
        </is>
      </c>
      <c r="F13" s="4" t="inlineStr">
        <is>
          <t>50%</t>
        </is>
      </c>
      <c r="G13" s="6" t="inlineStr">
        <is>
          <t>(Procesos judiciales ingresados digitalmente / Total de ingresos en especialidades y jurisdicciones priorizadas) * 100</t>
        </is>
      </c>
      <c r="H13" s="4" t="inlineStr">
        <is>
          <t>Trimestral</t>
        </is>
      </c>
      <c r="I13" s="11" t="inlineStr">
        <is>
          <t>UTDI/UDAE</t>
        </is>
      </c>
      <c r="J13" s="4" t="inlineStr">
        <is>
          <t>Resultado</t>
        </is>
      </c>
    </row>
    <row r="14">
      <c r="A14" s="9" t="inlineStr"/>
      <c r="B14" s="9" t="inlineStr">
        <is>
          <t>Procedimientos judiciales y administrativos rediseñados e implementados en soluciones digitales</t>
        </is>
      </c>
      <c r="C14" s="12" t="inlineStr">
        <is>
          <t>LB: 0 procedimientos rediseñados</t>
        </is>
      </c>
      <c r="D14" s="12" t="inlineStr">
        <is>
          <t>6 procedimientos rediseñados con herramientas digitales y/o aplicaciones implementadas</t>
        </is>
      </c>
      <c r="E14" s="9" t="inlineStr">
        <is>
          <t>Cuantifica los procedimientos y flujos de trabajo judiciales y administrativos rediseñados, simplificados y desplegados en las herramientas de gestión digital y/o aplicaciones.</t>
        </is>
      </c>
      <c r="F14" s="7" t="inlineStr">
        <is>
          <t>50%</t>
        </is>
      </c>
      <c r="G14" s="9" t="inlineStr">
        <is>
          <t>Número de procedimientos judiciales y administrativos rediseñados e implementados con soluciones digitales</t>
        </is>
      </c>
      <c r="H14" s="7" t="inlineStr">
        <is>
          <t>Semestral</t>
        </is>
      </c>
      <c r="I14" s="12" t="inlineStr">
        <is>
          <t>UTDI/UDAE/SIGCMA</t>
        </is>
      </c>
      <c r="J14" s="7" t="inlineStr">
        <is>
          <t>Resultado</t>
        </is>
      </c>
    </row>
    <row r="15">
      <c r="A15" s="6" t="inlineStr">
        <is>
          <t>9. Ejecutar una estrategia integral de gestión del cambio que impulse la apropiación y el uso efectivo de las soluciones digitales por parte de los usuarios de la Rama Judicial, y promover una cultura de innovación digital, como condiciones para materializar el valor de la inversión tecnológica.</t>
        </is>
      </c>
      <c r="B15" s="6" t="inlineStr">
        <is>
          <t>Servidores judiciales aprobados en pruebas prácticas (talleres) de apropiación y uso de soluciones digitales</t>
        </is>
      </c>
      <c r="C15" s="11" t="inlineStr">
        <is>
          <t>Actualmente no existe una medición de servidores judiciales aprobados en pruebas prácticas (talleres)</t>
        </is>
      </c>
      <c r="D15" s="11" t="inlineStr">
        <is>
          <t>70%</t>
        </is>
      </c>
      <c r="E15" s="6" t="inlineStr">
        <is>
          <t>Evalúa el nivel de aprobación en talleres de compentencias digitales</t>
        </is>
      </c>
      <c r="F15" s="4" t="inlineStr">
        <is>
          <t>100%</t>
        </is>
      </c>
      <c r="G15" s="6" t="inlineStr">
        <is>
          <t>(Servidores judiciales que demuestran compentencias digitales / Total de servidores judiciales admitidos en las actividades practicas (talleres)) * 100</t>
        </is>
      </c>
      <c r="H15" s="4" t="inlineStr">
        <is>
          <t>Semestral</t>
        </is>
      </c>
      <c r="I15" s="11" t="inlineStr">
        <is>
          <t>Escuela Judicial /  UTDI</t>
        </is>
      </c>
      <c r="J15" s="4" t="inlineStr">
        <is>
          <t>Impacto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35" customWidth="1" min="1" max="1"/>
    <col width="24" customWidth="1" min="2" max="2"/>
    <col width="26" customWidth="1" min="3" max="3"/>
    <col width="6" customWidth="1" min="4" max="4"/>
    <col width="38" customWidth="1" min="5" max="5"/>
    <col width="16" customWidth="1" min="6" max="6"/>
    <col width="65" customWidth="1" min="7" max="7"/>
  </cols>
  <sheetData>
    <row r="1">
      <c r="A1" s="1" t="inlineStr">
        <is>
          <t>RESUMEN EJECUTIVO DE OBSERVACIONES ATENDIDAS</t>
        </is>
      </c>
    </row>
    <row r="2">
      <c r="A2" s="2" t="inlineStr">
        <is>
          <t>Distribución por Despacho y Temática de los comentarios seleccionados</t>
        </is>
      </c>
    </row>
    <row r="4">
      <c r="A4" s="13" t="inlineStr">
        <is>
          <t>Despacho / Dependencia</t>
        </is>
      </c>
      <c r="B4" s="13" t="inlineStr">
        <is>
          <t>Cantidad Observaciones</t>
        </is>
      </c>
      <c r="C4" s="13" t="inlineStr">
        <is>
          <t>Observaciones (#)</t>
        </is>
      </c>
      <c r="E4" s="14" t="inlineStr">
        <is>
          <t>Eje Temático Focalizado</t>
        </is>
      </c>
      <c r="F4" s="14" t="inlineStr">
        <is>
          <t>Cantidad</t>
        </is>
      </c>
      <c r="G4" s="14" t="inlineStr">
        <is>
          <t>Enfoque Principal</t>
        </is>
      </c>
    </row>
    <row r="5">
      <c r="A5" s="15" t="inlineStr">
        <is>
          <t>Aurelio Enrique Rodríguez Guzmán</t>
        </is>
      </c>
      <c r="B5" s="16" t="n">
        <v>1</v>
      </c>
      <c r="C5" s="16" t="inlineStr">
        <is>
          <t>#69</t>
        </is>
      </c>
      <c r="E5" s="15" t="inlineStr">
        <is>
          <t>Líneas Base / Metas / Batería de Indicadores</t>
        </is>
      </c>
      <c r="F5" s="16" t="n">
        <v>5</v>
      </c>
      <c r="G5" s="15" t="inlineStr">
        <is>
          <t>Exigencia de no iniciar en cero, completar pendientes y transitar hacia impacto</t>
        </is>
      </c>
    </row>
    <row r="6">
      <c r="A6" s="17" t="inlineStr">
        <is>
          <t>Claudia Expósito Velez</t>
        </is>
      </c>
      <c r="B6" s="18" t="n">
        <v>1</v>
      </c>
      <c r="C6" s="18" t="inlineStr">
        <is>
          <t>#49</t>
        </is>
      </c>
      <c r="E6" s="17" t="inlineStr">
        <is>
          <t>Transformación Digital / Tecnología</t>
        </is>
      </c>
      <c r="F6" s="18" t="n">
        <v>3</v>
      </c>
      <c r="G6" s="17" t="inlineStr">
        <is>
          <t>Interoperabilidad, Gobernanza TI, Soberanía Digital e IA conforme a T-323/24</t>
        </is>
      </c>
    </row>
    <row r="7">
      <c r="A7" s="15" t="inlineStr">
        <is>
          <t>Dirección de la UDAE</t>
        </is>
      </c>
      <c r="B7" s="16" t="n">
        <v>2</v>
      </c>
      <c r="C7" s="16" t="inlineStr">
        <is>
          <t>#23, #26</t>
        </is>
      </c>
      <c r="E7" s="15" t="inlineStr">
        <is>
          <t>Inversiones y Coherencia de Indicadores</t>
        </is>
      </c>
      <c r="F7" s="16" t="n">
        <v>2</v>
      </c>
      <c r="G7" s="15" t="inlineStr">
        <is>
          <t>Consistencia financiera entre Tablas de inversión y batería de iniciativas</t>
        </is>
      </c>
    </row>
    <row r="8">
      <c r="A8" s="17" t="inlineStr">
        <is>
          <t>Jorge Luis Trujillo Alfaro</t>
        </is>
      </c>
      <c r="B8" s="18" t="n">
        <v>2</v>
      </c>
      <c r="C8" s="18" t="inlineStr">
        <is>
          <t>#10, #12</t>
        </is>
      </c>
      <c r="E8" s="19" t="inlineStr">
        <is>
          <t>TOTAL</t>
        </is>
      </c>
      <c r="F8" s="20">
        <f>SUM(F5:F7)</f>
        <v/>
      </c>
      <c r="G8" s="19" t="inlineStr"/>
    </row>
    <row r="9">
      <c r="A9" s="15" t="inlineStr">
        <is>
          <t>Liliana Rosa Cardona Chagüi</t>
        </is>
      </c>
      <c r="B9" s="16" t="n">
        <v>2</v>
      </c>
      <c r="C9" s="16" t="inlineStr">
        <is>
          <t>#67, #68</t>
        </is>
      </c>
    </row>
    <row r="10">
      <c r="A10" s="17" t="inlineStr">
        <is>
          <t>Magistrada Mary Lucero Novoa Moreno</t>
        </is>
      </c>
      <c r="B10" s="18" t="n">
        <v>2</v>
      </c>
      <c r="C10" s="18" t="inlineStr">
        <is>
          <t>#2, #6</t>
        </is>
      </c>
    </row>
    <row r="11">
      <c r="A11" s="19" t="inlineStr">
        <is>
          <t>TOTAL OBSERVACIONES</t>
        </is>
      </c>
      <c r="B11" s="20">
        <f>SUM(B5:B10)</f>
        <v/>
      </c>
      <c r="C11" s="19" t="inlineStr">
        <is>
          <t>10 observaciones clave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2026-10-19T20:50:38Z</dcterms:created>
  <dcterms:modified xmlns:dcterms="http://purl.org/dc/terms/" xmlns:xsi="http://www.w3.org/2001/XMLSchema-instance" xsi:type="dcterms:W3CDTF">2026-10-19T20:50:38Z</dcterms:modified>
</cp:coreProperties>
</file>